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план (Base)" sheetId="1" state="visible" r:id="rId1"/>
    <sheet xmlns:r="http://schemas.openxmlformats.org/officeDocument/2006/relationships" name="3 Сценария" sheetId="2" state="visible" r:id="rId2"/>
    <sheet xmlns:r="http://schemas.openxmlformats.org/officeDocument/2006/relationships" name="Чувствительность" sheetId="3" state="visible" r:id="rId3"/>
    <sheet xmlns:r="http://schemas.openxmlformats.org/officeDocument/2006/relationships" name="Оценка компании" sheetId="4" state="visible" r:id="rId4"/>
    <sheet xmlns:r="http://schemas.openxmlformats.org/officeDocument/2006/relationships" name="Unit Econom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color rgb="00FF4455"/>
      <sz val="11"/>
    </font>
    <font>
      <name val="Calibri"/>
      <b val="1"/>
      <color rgb="00FFD700"/>
      <sz val="11"/>
    </font>
    <font>
      <name val="Calibri"/>
      <b val="1"/>
      <color rgb="0000C880"/>
      <sz val="11"/>
    </font>
    <font>
      <name val="Calibri"/>
      <b val="1"/>
      <color rgb="00FF4455"/>
      <sz val="11"/>
    </font>
    <font>
      <name val="Calibri"/>
      <b val="1"/>
      <color rgb="000D1B2A"/>
      <sz val="12"/>
    </font>
    <font>
      <name val="Calibri"/>
      <color rgb="00A0B4C8"/>
      <sz val="11"/>
    </font>
    <font>
      <name val="Calibri"/>
      <color rgb="00E84C60"/>
      <sz val="11"/>
    </font>
    <font>
      <name val="Calibri"/>
      <b val="1"/>
      <color rgb="0000D4AA"/>
      <sz val="11"/>
    </font>
    <font>
      <name val="Calibri"/>
      <color rgb="00FFD700"/>
      <sz val="11"/>
    </font>
    <font>
      <name val="Calibri"/>
      <b val="1"/>
      <color rgb="000D1B2A"/>
      <sz val="11"/>
    </font>
    <font>
      <name val="Calibri"/>
      <b val="1"/>
      <color rgb="00FFFFFF"/>
      <sz val="13"/>
    </font>
    <font>
      <name val="Calibri"/>
      <b val="1"/>
      <color rgb="00E84C60"/>
      <sz val="11"/>
    </font>
    <font>
      <name val="Calibri"/>
      <color rgb="0000D4AA"/>
      <sz val="11"/>
    </font>
    <font>
      <name val="Calibri"/>
      <i val="1"/>
      <color rgb="00FFFFFF"/>
      <sz val="11"/>
    </font>
    <font>
      <name val="Calibri"/>
      <b val="1"/>
      <color rgb="0000D4AA"/>
      <sz val="12"/>
    </font>
    <font>
      <name val="Calibri"/>
      <i val="1"/>
      <color rgb="00A0B4C8"/>
      <sz val="10"/>
    </font>
  </fonts>
  <fills count="8">
    <fill>
      <patternFill/>
    </fill>
    <fill>
      <patternFill patternType="gray125"/>
    </fill>
    <fill>
      <patternFill patternType="solid">
        <fgColor rgb="00E84C60"/>
      </patternFill>
    </fill>
    <fill>
      <patternFill patternType="solid">
        <fgColor rgb="001A3050"/>
      </patternFill>
    </fill>
    <fill>
      <patternFill patternType="solid">
        <fgColor rgb="00162B45"/>
      </patternFill>
    </fill>
    <fill>
      <patternFill patternType="solid">
        <fgColor rgb="00112235"/>
      </patternFill>
    </fill>
    <fill>
      <patternFill patternType="solid">
        <fgColor rgb="0000D4AA"/>
      </patternFill>
    </fill>
    <fill>
      <patternFill patternType="solid">
        <fgColor rgb="00FFD700"/>
      </patternFill>
    </fill>
  </fills>
  <borders count="5">
    <border>
      <left/>
      <right/>
      <top/>
      <bottom/>
      <diagonal/>
    </border>
    <border>
      <left style="thin">
        <color rgb="002A4A6A"/>
      </left>
      <right style="thin">
        <color rgb="002A4A6A"/>
      </right>
      <top style="thin">
        <color rgb="002A4A6A"/>
      </top>
      <bottom style="thin">
        <color rgb="002A4A6A"/>
      </bottom>
    </border>
    <border>
      <left/>
      <right/>
      <top style="thin">
        <color rgb="002A4A6A"/>
      </top>
      <bottom/>
      <diagonal/>
    </border>
    <border>
      <left/>
      <right style="thin">
        <color rgb="002A4A6A"/>
      </right>
      <top style="thin">
        <color rgb="002A4A6A"/>
      </top>
      <bottom/>
      <diagonal/>
    </border>
    <border>
      <left/>
      <right style="thin">
        <color rgb="002A4A6A"/>
      </right>
      <top style="thin">
        <color rgb="002A4A6A"/>
      </top>
      <bottom style="thin">
        <color rgb="002A4A6A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3" fontId="3" fillId="2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center" vertical="center"/>
    </xf>
    <xf numFmtId="9" fontId="3" fillId="2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9" fontId="2" fillId="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3" fontId="10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3" fontId="12" fillId="4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3" fontId="16" fillId="4" borderId="1" applyAlignment="1" pivotButton="0" quotePrefix="0" xfId="0">
      <alignment horizontal="center" vertical="center"/>
    </xf>
    <xf numFmtId="3" fontId="16" fillId="5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3" fontId="13" fillId="7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/>
    </xf>
    <xf numFmtId="3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/>
    </xf>
    <xf numFmtId="9" fontId="18" fillId="4" borderId="1" applyAlignment="1" pivotButton="0" quotePrefix="0" xfId="0">
      <alignment horizontal="center" vertical="center"/>
    </xf>
    <xf numFmtId="3" fontId="18" fillId="5" borderId="1" applyAlignment="1" pivotButton="0" quotePrefix="0" xfId="0">
      <alignment horizontal="center" vertical="center"/>
    </xf>
    <xf numFmtId="2" fontId="18" fillId="4" borderId="1" applyAlignment="1" pivotButton="0" quotePrefix="0" xfId="0">
      <alignment horizontal="center" vertical="center"/>
    </xf>
    <xf numFmtId="2" fontId="18" fillId="5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по месяцам (₽)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'Финплан (Base)'!G2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'Финплан (Base)'!$A$3:$A$26</f>
            </numRef>
          </cat>
          <val>
            <numRef>
              <f>'Финплан (Base)'!$G$3:$G$26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MRR, 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1" t="inlineStr">
        <is>
          <t>ФИНАНСОВЫЙ ПЛАН — Базовый сценарий (ARPU 99 ₽ · Конверсия 4% · Churn 10%)</t>
        </is>
      </c>
    </row>
    <row r="2" ht="30" customHeight="1">
      <c r="A2" s="2" t="inlineStr">
        <is>
          <t>Мес.</t>
        </is>
      </c>
      <c r="B2" s="2" t="inlineStr">
        <is>
          <t>Год</t>
        </is>
      </c>
      <c r="C2" s="2" t="inlineStr">
        <is>
          <t>MAU</t>
        </is>
      </c>
      <c r="D2" s="2" t="inlineStr">
        <is>
          <t>Новых пользов.</t>
        </is>
      </c>
      <c r="E2" s="2" t="inlineStr">
        <is>
          <t>Платящих</t>
        </is>
      </c>
      <c r="F2" s="2" t="inlineStr">
        <is>
          <t>Новых платящих</t>
        </is>
      </c>
      <c r="G2" s="2" t="inlineStr">
        <is>
          <t>MRR, ₽</t>
        </is>
      </c>
      <c r="H2" s="2" t="inlineStr">
        <is>
          <t>Затраты, ₽</t>
        </is>
      </c>
      <c r="I2" s="2" t="inlineStr">
        <is>
          <t>EBITDA, ₽</t>
        </is>
      </c>
      <c r="J2" s="2" t="inlineStr">
        <is>
          <t>EBITDA %</t>
        </is>
      </c>
      <c r="K2" s="2" t="inlineStr">
        <is>
          <t>ARR (trailing), ₽</t>
        </is>
      </c>
      <c r="L2" s="2" t="inlineStr">
        <is>
          <t>Накопл. выручка, ₽</t>
        </is>
      </c>
      <c r="M2" s="2" t="inlineStr">
        <is>
          <t>Накопл. затраты, ₽</t>
        </is>
      </c>
    </row>
    <row r="3">
      <c r="A3" s="3" t="inlineStr">
        <is>
          <t>М1</t>
        </is>
      </c>
      <c r="B3" s="3" t="n">
        <v>1</v>
      </c>
      <c r="C3" s="4" t="n">
        <v>300</v>
      </c>
      <c r="D3" s="4" t="n">
        <v>300</v>
      </c>
      <c r="E3" s="4" t="n">
        <v>12</v>
      </c>
      <c r="F3" s="4" t="n">
        <v>12</v>
      </c>
      <c r="G3" s="4" t="n">
        <v>1188</v>
      </c>
      <c r="H3" s="4" t="n">
        <v>120000</v>
      </c>
      <c r="I3" s="5" t="n">
        <v>-118812</v>
      </c>
      <c r="J3" s="6" t="n">
        <v>-0.9901</v>
      </c>
      <c r="K3" s="4" t="n">
        <v>14256</v>
      </c>
      <c r="L3" s="4" t="n">
        <v>1188</v>
      </c>
      <c r="M3" s="4" t="n">
        <v>120000</v>
      </c>
    </row>
    <row r="4">
      <c r="A4" s="7" t="inlineStr">
        <is>
          <t>М2</t>
        </is>
      </c>
      <c r="B4" s="7" t="n">
        <v>1</v>
      </c>
      <c r="C4" s="8" t="n">
        <v>800</v>
      </c>
      <c r="D4" s="8" t="n">
        <v>500</v>
      </c>
      <c r="E4" s="8" t="n">
        <v>32</v>
      </c>
      <c r="F4" s="8" t="n">
        <v>20</v>
      </c>
      <c r="G4" s="8" t="n">
        <v>3168</v>
      </c>
      <c r="H4" s="8" t="n">
        <v>120000</v>
      </c>
      <c r="I4" s="9" t="n">
        <v>-116832</v>
      </c>
      <c r="J4" s="10" t="n">
        <v>-0.9736</v>
      </c>
      <c r="K4" s="8" t="n">
        <v>38016</v>
      </c>
      <c r="L4" s="8" t="n">
        <v>4356</v>
      </c>
      <c r="M4" s="8" t="n">
        <v>240000</v>
      </c>
    </row>
    <row r="5">
      <c r="A5" s="3" t="inlineStr">
        <is>
          <t>М3</t>
        </is>
      </c>
      <c r="B5" s="3" t="n">
        <v>1</v>
      </c>
      <c r="C5" s="4" t="n">
        <v>1800</v>
      </c>
      <c r="D5" s="4" t="n">
        <v>1000</v>
      </c>
      <c r="E5" s="4" t="n">
        <v>72</v>
      </c>
      <c r="F5" s="4" t="n">
        <v>40</v>
      </c>
      <c r="G5" s="4" t="n">
        <v>7128</v>
      </c>
      <c r="H5" s="4" t="n">
        <v>120000</v>
      </c>
      <c r="I5" s="5" t="n">
        <v>-112872</v>
      </c>
      <c r="J5" s="6" t="n">
        <v>-0.9406</v>
      </c>
      <c r="K5" s="4" t="n">
        <v>85536</v>
      </c>
      <c r="L5" s="4" t="n">
        <v>11484</v>
      </c>
      <c r="M5" s="4" t="n">
        <v>360000</v>
      </c>
    </row>
    <row r="6">
      <c r="A6" s="7" t="inlineStr">
        <is>
          <t>М4</t>
        </is>
      </c>
      <c r="B6" s="7" t="n">
        <v>1</v>
      </c>
      <c r="C6" s="8" t="n">
        <v>3500</v>
      </c>
      <c r="D6" s="8" t="n">
        <v>1700</v>
      </c>
      <c r="E6" s="8" t="n">
        <v>140</v>
      </c>
      <c r="F6" s="8" t="n">
        <v>68</v>
      </c>
      <c r="G6" s="8" t="n">
        <v>13860</v>
      </c>
      <c r="H6" s="8" t="n">
        <v>120000</v>
      </c>
      <c r="I6" s="9" t="n">
        <v>-106140</v>
      </c>
      <c r="J6" s="10" t="n">
        <v>-0.8845</v>
      </c>
      <c r="K6" s="8" t="n">
        <v>166320</v>
      </c>
      <c r="L6" s="8" t="n">
        <v>25344</v>
      </c>
      <c r="M6" s="8" t="n">
        <v>480000</v>
      </c>
    </row>
    <row r="7">
      <c r="A7" s="3" t="inlineStr">
        <is>
          <t>М5</t>
        </is>
      </c>
      <c r="B7" s="3" t="n">
        <v>1</v>
      </c>
      <c r="C7" s="4" t="n">
        <v>6000</v>
      </c>
      <c r="D7" s="4" t="n">
        <v>2500</v>
      </c>
      <c r="E7" s="4" t="n">
        <v>240</v>
      </c>
      <c r="F7" s="4" t="n">
        <v>100</v>
      </c>
      <c r="G7" s="4" t="n">
        <v>23760</v>
      </c>
      <c r="H7" s="4" t="n">
        <v>120000</v>
      </c>
      <c r="I7" s="5" t="n">
        <v>-96240</v>
      </c>
      <c r="J7" s="6" t="n">
        <v>-0.802</v>
      </c>
      <c r="K7" s="4" t="n">
        <v>285120</v>
      </c>
      <c r="L7" s="4" t="n">
        <v>49104</v>
      </c>
      <c r="M7" s="4" t="n">
        <v>600000</v>
      </c>
    </row>
    <row r="8">
      <c r="A8" s="7" t="inlineStr">
        <is>
          <t>М6</t>
        </is>
      </c>
      <c r="B8" s="7" t="n">
        <v>1</v>
      </c>
      <c r="C8" s="8" t="n">
        <v>9500</v>
      </c>
      <c r="D8" s="8" t="n">
        <v>3500</v>
      </c>
      <c r="E8" s="8" t="n">
        <v>380</v>
      </c>
      <c r="F8" s="8" t="n">
        <v>140</v>
      </c>
      <c r="G8" s="8" t="n">
        <v>37620</v>
      </c>
      <c r="H8" s="8" t="n">
        <v>120000</v>
      </c>
      <c r="I8" s="9" t="n">
        <v>-82380</v>
      </c>
      <c r="J8" s="10" t="n">
        <v>-0.6865</v>
      </c>
      <c r="K8" s="8" t="n">
        <v>451440</v>
      </c>
      <c r="L8" s="8" t="n">
        <v>86724</v>
      </c>
      <c r="M8" s="8" t="n">
        <v>720000</v>
      </c>
    </row>
    <row r="9">
      <c r="A9" s="3" t="inlineStr">
        <is>
          <t>М7</t>
        </is>
      </c>
      <c r="B9" s="3" t="n">
        <v>1</v>
      </c>
      <c r="C9" s="4" t="n">
        <v>13000</v>
      </c>
      <c r="D9" s="4" t="n">
        <v>3500</v>
      </c>
      <c r="E9" s="4" t="n">
        <v>520</v>
      </c>
      <c r="F9" s="4" t="n">
        <v>140</v>
      </c>
      <c r="G9" s="4" t="n">
        <v>51480</v>
      </c>
      <c r="H9" s="4" t="n">
        <v>170000</v>
      </c>
      <c r="I9" s="5" t="n">
        <v>-118520</v>
      </c>
      <c r="J9" s="6" t="n">
        <v>-0.6971764705882353</v>
      </c>
      <c r="K9" s="4" t="n">
        <v>617760</v>
      </c>
      <c r="L9" s="4" t="n">
        <v>138204</v>
      </c>
      <c r="M9" s="4" t="n">
        <v>890000</v>
      </c>
    </row>
    <row r="10">
      <c r="A10" s="7" t="inlineStr">
        <is>
          <t>М8</t>
        </is>
      </c>
      <c r="B10" s="7" t="n">
        <v>1</v>
      </c>
      <c r="C10" s="8" t="n">
        <v>17000</v>
      </c>
      <c r="D10" s="8" t="n">
        <v>4000</v>
      </c>
      <c r="E10" s="8" t="n">
        <v>680</v>
      </c>
      <c r="F10" s="8" t="n">
        <v>160</v>
      </c>
      <c r="G10" s="8" t="n">
        <v>67320</v>
      </c>
      <c r="H10" s="8" t="n">
        <v>170000</v>
      </c>
      <c r="I10" s="9" t="n">
        <v>-102680</v>
      </c>
      <c r="J10" s="10" t="n">
        <v>-0.604</v>
      </c>
      <c r="K10" s="8" t="n">
        <v>807840</v>
      </c>
      <c r="L10" s="8" t="n">
        <v>205524</v>
      </c>
      <c r="M10" s="8" t="n">
        <v>1060000</v>
      </c>
    </row>
    <row r="11">
      <c r="A11" s="3" t="inlineStr">
        <is>
          <t>М9</t>
        </is>
      </c>
      <c r="B11" s="3" t="n">
        <v>1</v>
      </c>
      <c r="C11" s="4" t="n">
        <v>21000</v>
      </c>
      <c r="D11" s="4" t="n">
        <v>4000</v>
      </c>
      <c r="E11" s="4" t="n">
        <v>840</v>
      </c>
      <c r="F11" s="4" t="n">
        <v>160</v>
      </c>
      <c r="G11" s="4" t="n">
        <v>83160</v>
      </c>
      <c r="H11" s="4" t="n">
        <v>170000</v>
      </c>
      <c r="I11" s="5" t="n">
        <v>-86840</v>
      </c>
      <c r="J11" s="6" t="n">
        <v>-0.5108235294117647</v>
      </c>
      <c r="K11" s="4" t="n">
        <v>997920</v>
      </c>
      <c r="L11" s="4" t="n">
        <v>288684</v>
      </c>
      <c r="M11" s="4" t="n">
        <v>1230000</v>
      </c>
    </row>
    <row r="12">
      <c r="A12" s="7" t="inlineStr">
        <is>
          <t>М10</t>
        </is>
      </c>
      <c r="B12" s="7" t="n">
        <v>1</v>
      </c>
      <c r="C12" s="8" t="n">
        <v>25000</v>
      </c>
      <c r="D12" s="8" t="n">
        <v>4000</v>
      </c>
      <c r="E12" s="8" t="n">
        <v>1000</v>
      </c>
      <c r="F12" s="8" t="n">
        <v>160</v>
      </c>
      <c r="G12" s="8" t="n">
        <v>99000</v>
      </c>
      <c r="H12" s="8" t="n">
        <v>170000</v>
      </c>
      <c r="I12" s="9" t="n">
        <v>-71000</v>
      </c>
      <c r="J12" s="10" t="n">
        <v>-0.4176470588235294</v>
      </c>
      <c r="K12" s="8" t="n">
        <v>1188000</v>
      </c>
      <c r="L12" s="8" t="n">
        <v>387684</v>
      </c>
      <c r="M12" s="8" t="n">
        <v>1400000</v>
      </c>
    </row>
    <row r="13">
      <c r="A13" s="3" t="inlineStr">
        <is>
          <t>М11</t>
        </is>
      </c>
      <c r="B13" s="3" t="n">
        <v>1</v>
      </c>
      <c r="C13" s="4" t="n">
        <v>29000</v>
      </c>
      <c r="D13" s="4" t="n">
        <v>4000</v>
      </c>
      <c r="E13" s="4" t="n">
        <v>1160</v>
      </c>
      <c r="F13" s="4" t="n">
        <v>160</v>
      </c>
      <c r="G13" s="4" t="n">
        <v>114840</v>
      </c>
      <c r="H13" s="4" t="n">
        <v>170000</v>
      </c>
      <c r="I13" s="5" t="n">
        <v>-55160</v>
      </c>
      <c r="J13" s="6" t="n">
        <v>-0.3244705882352941</v>
      </c>
      <c r="K13" s="4" t="n">
        <v>1378080</v>
      </c>
      <c r="L13" s="4" t="n">
        <v>502524</v>
      </c>
      <c r="M13" s="4" t="n">
        <v>1570000</v>
      </c>
    </row>
    <row r="14" ht="20" customHeight="1">
      <c r="A14" s="11" t="inlineStr">
        <is>
          <t>ГОД 1 ИТОГО</t>
        </is>
      </c>
      <c r="B14" s="12" t="n"/>
      <c r="C14" s="13" t="n">
        <v>33000</v>
      </c>
      <c r="D14" s="13" t="n">
        <v>4000</v>
      </c>
      <c r="E14" s="13" t="n">
        <v>1320</v>
      </c>
      <c r="F14" s="13" t="n">
        <v>160</v>
      </c>
      <c r="G14" s="13" t="n">
        <v>633204</v>
      </c>
      <c r="H14" s="13" t="n">
        <v>1740000</v>
      </c>
      <c r="I14" s="14" t="n">
        <v>-1106796</v>
      </c>
      <c r="J14" s="15" t="n">
        <v>-0.2312941176470588</v>
      </c>
      <c r="K14" s="13" t="n">
        <v>1568160</v>
      </c>
      <c r="L14" s="13" t="n">
        <v>633204</v>
      </c>
      <c r="M14" s="13" t="n">
        <v>1740000</v>
      </c>
    </row>
    <row r="15" ht="6" customHeight="1">
      <c r="A15" s="3" t="inlineStr">
        <is>
          <t>М13</t>
        </is>
      </c>
      <c r="B15" s="3" t="n">
        <v>2</v>
      </c>
      <c r="C15" s="4" t="n">
        <v>37000</v>
      </c>
      <c r="D15" s="4" t="n">
        <v>4000</v>
      </c>
      <c r="E15" s="4" t="n">
        <v>1480</v>
      </c>
      <c r="F15" s="4" t="n">
        <v>160</v>
      </c>
      <c r="G15" s="4" t="n">
        <v>146520</v>
      </c>
      <c r="H15" s="4" t="n">
        <v>220000</v>
      </c>
      <c r="I15" s="5" t="n">
        <v>-73480</v>
      </c>
      <c r="J15" s="6" t="n">
        <v>-0.334</v>
      </c>
      <c r="K15" s="4" t="n">
        <v>1758240</v>
      </c>
      <c r="L15" s="4" t="n">
        <v>779724</v>
      </c>
      <c r="M15" s="4" t="n">
        <v>1960000</v>
      </c>
    </row>
    <row r="16">
      <c r="A16" s="7" t="inlineStr">
        <is>
          <t>М14</t>
        </is>
      </c>
      <c r="B16" s="7" t="n">
        <v>2</v>
      </c>
      <c r="C16" s="8" t="n">
        <v>41000</v>
      </c>
      <c r="D16" s="8" t="n">
        <v>4000</v>
      </c>
      <c r="E16" s="8" t="n">
        <v>1640</v>
      </c>
      <c r="F16" s="8" t="n">
        <v>160</v>
      </c>
      <c r="G16" s="8" t="n">
        <v>162360</v>
      </c>
      <c r="H16" s="8" t="n">
        <v>220000</v>
      </c>
      <c r="I16" s="9" t="n">
        <v>-57640</v>
      </c>
      <c r="J16" s="10" t="n">
        <v>-0.262</v>
      </c>
      <c r="K16" s="8" t="n">
        <v>1948320</v>
      </c>
      <c r="L16" s="8" t="n">
        <v>942084</v>
      </c>
      <c r="M16" s="8" t="n">
        <v>2180000</v>
      </c>
    </row>
    <row r="17">
      <c r="A17" s="3" t="inlineStr">
        <is>
          <t>М15</t>
        </is>
      </c>
      <c r="B17" s="3" t="n">
        <v>2</v>
      </c>
      <c r="C17" s="4" t="n">
        <v>45000</v>
      </c>
      <c r="D17" s="4" t="n">
        <v>4000</v>
      </c>
      <c r="E17" s="4" t="n">
        <v>1800</v>
      </c>
      <c r="F17" s="4" t="n">
        <v>160</v>
      </c>
      <c r="G17" s="4" t="n">
        <v>178200</v>
      </c>
      <c r="H17" s="4" t="n">
        <v>220000</v>
      </c>
      <c r="I17" s="5" t="n">
        <v>-41800</v>
      </c>
      <c r="J17" s="6" t="n">
        <v>-0.19</v>
      </c>
      <c r="K17" s="4" t="n">
        <v>2138400</v>
      </c>
      <c r="L17" s="4" t="n">
        <v>1120284</v>
      </c>
      <c r="M17" s="4" t="n">
        <v>2400000</v>
      </c>
    </row>
    <row r="18">
      <c r="A18" s="7" t="inlineStr">
        <is>
          <t>М16</t>
        </is>
      </c>
      <c r="B18" s="7" t="n">
        <v>2</v>
      </c>
      <c r="C18" s="8" t="n">
        <v>49000</v>
      </c>
      <c r="D18" s="8" t="n">
        <v>4000</v>
      </c>
      <c r="E18" s="8" t="n">
        <v>1960</v>
      </c>
      <c r="F18" s="8" t="n">
        <v>160</v>
      </c>
      <c r="G18" s="8" t="n">
        <v>194040</v>
      </c>
      <c r="H18" s="8" t="n">
        <v>220000</v>
      </c>
      <c r="I18" s="9" t="n">
        <v>-25960</v>
      </c>
      <c r="J18" s="10" t="n">
        <v>-0.118</v>
      </c>
      <c r="K18" s="8" t="n">
        <v>2328480</v>
      </c>
      <c r="L18" s="8" t="n">
        <v>1314324</v>
      </c>
      <c r="M18" s="8" t="n">
        <v>2620000</v>
      </c>
    </row>
    <row r="19">
      <c r="A19" s="3" t="inlineStr">
        <is>
          <t>М17</t>
        </is>
      </c>
      <c r="B19" s="3" t="n">
        <v>2</v>
      </c>
      <c r="C19" s="4" t="n">
        <v>53000</v>
      </c>
      <c r="D19" s="4" t="n">
        <v>4000</v>
      </c>
      <c r="E19" s="4" t="n">
        <v>2120</v>
      </c>
      <c r="F19" s="4" t="n">
        <v>160</v>
      </c>
      <c r="G19" s="4" t="n">
        <v>209880</v>
      </c>
      <c r="H19" s="4" t="n">
        <v>220000</v>
      </c>
      <c r="I19" s="5" t="n">
        <v>-10120</v>
      </c>
      <c r="J19" s="6" t="n">
        <v>-0.046</v>
      </c>
      <c r="K19" s="4" t="n">
        <v>2518560</v>
      </c>
      <c r="L19" s="4" t="n">
        <v>1524204</v>
      </c>
      <c r="M19" s="4" t="n">
        <v>2840000</v>
      </c>
    </row>
    <row r="20">
      <c r="A20" s="7" t="inlineStr">
        <is>
          <t>М18</t>
        </is>
      </c>
      <c r="B20" s="7" t="n">
        <v>2</v>
      </c>
      <c r="C20" s="8" t="n">
        <v>57000</v>
      </c>
      <c r="D20" s="8" t="n">
        <v>4000</v>
      </c>
      <c r="E20" s="8" t="n">
        <v>2280</v>
      </c>
      <c r="F20" s="8" t="n">
        <v>160</v>
      </c>
      <c r="G20" s="8" t="n">
        <v>225720</v>
      </c>
      <c r="H20" s="8" t="n">
        <v>220000</v>
      </c>
      <c r="I20" s="16" t="n">
        <v>5720</v>
      </c>
      <c r="J20" s="10" t="n">
        <v>0.026</v>
      </c>
      <c r="K20" s="8" t="n">
        <v>2708640</v>
      </c>
      <c r="L20" s="8" t="n">
        <v>1749924</v>
      </c>
      <c r="M20" s="8" t="n">
        <v>3060000</v>
      </c>
    </row>
    <row r="21">
      <c r="A21" s="3" t="inlineStr">
        <is>
          <t>М19</t>
        </is>
      </c>
      <c r="B21" s="3" t="n">
        <v>2</v>
      </c>
      <c r="C21" s="4" t="n">
        <v>61000</v>
      </c>
      <c r="D21" s="4" t="n">
        <v>4000</v>
      </c>
      <c r="E21" s="4" t="n">
        <v>2440</v>
      </c>
      <c r="F21" s="4" t="n">
        <v>160</v>
      </c>
      <c r="G21" s="4" t="n">
        <v>241560</v>
      </c>
      <c r="H21" s="4" t="n">
        <v>260000</v>
      </c>
      <c r="I21" s="5" t="n">
        <v>-18440</v>
      </c>
      <c r="J21" s="6" t="n">
        <v>-0.07092307692307692</v>
      </c>
      <c r="K21" s="4" t="n">
        <v>2898720</v>
      </c>
      <c r="L21" s="4" t="n">
        <v>1991484</v>
      </c>
      <c r="M21" s="4" t="n">
        <v>3320000</v>
      </c>
    </row>
    <row r="22">
      <c r="A22" s="7" t="inlineStr">
        <is>
          <t>М20</t>
        </is>
      </c>
      <c r="B22" s="7" t="n">
        <v>2</v>
      </c>
      <c r="C22" s="8" t="n">
        <v>65000</v>
      </c>
      <c r="D22" s="8" t="n">
        <v>4000</v>
      </c>
      <c r="E22" s="8" t="n">
        <v>2600</v>
      </c>
      <c r="F22" s="8" t="n">
        <v>160</v>
      </c>
      <c r="G22" s="8" t="n">
        <v>257400</v>
      </c>
      <c r="H22" s="8" t="n">
        <v>260000</v>
      </c>
      <c r="I22" s="9" t="n">
        <v>-2600</v>
      </c>
      <c r="J22" s="10" t="n">
        <v>-0.01</v>
      </c>
      <c r="K22" s="8" t="n">
        <v>3088800</v>
      </c>
      <c r="L22" s="8" t="n">
        <v>2248884</v>
      </c>
      <c r="M22" s="8" t="n">
        <v>3580000</v>
      </c>
    </row>
    <row r="23">
      <c r="A23" s="3" t="inlineStr">
        <is>
          <t>М21</t>
        </is>
      </c>
      <c r="B23" s="3" t="n">
        <v>2</v>
      </c>
      <c r="C23" s="4" t="n">
        <v>68000</v>
      </c>
      <c r="D23" s="4" t="n">
        <v>3000</v>
      </c>
      <c r="E23" s="4" t="n">
        <v>2720</v>
      </c>
      <c r="F23" s="4" t="n">
        <v>120</v>
      </c>
      <c r="G23" s="4" t="n">
        <v>269280</v>
      </c>
      <c r="H23" s="4" t="n">
        <v>260000</v>
      </c>
      <c r="I23" s="17" t="n">
        <v>9280</v>
      </c>
      <c r="J23" s="6" t="n">
        <v>0.03569230769230769</v>
      </c>
      <c r="K23" s="4" t="n">
        <v>3231360</v>
      </c>
      <c r="L23" s="4" t="n">
        <v>2518164</v>
      </c>
      <c r="M23" s="4" t="n">
        <v>3840000</v>
      </c>
    </row>
    <row r="24">
      <c r="A24" s="7" t="inlineStr">
        <is>
          <t>М22</t>
        </is>
      </c>
      <c r="B24" s="7" t="n">
        <v>2</v>
      </c>
      <c r="C24" s="8" t="n">
        <v>71000</v>
      </c>
      <c r="D24" s="8" t="n">
        <v>3000</v>
      </c>
      <c r="E24" s="8" t="n">
        <v>2840</v>
      </c>
      <c r="F24" s="8" t="n">
        <v>120</v>
      </c>
      <c r="G24" s="8" t="n">
        <v>281160</v>
      </c>
      <c r="H24" s="8" t="n">
        <v>260000</v>
      </c>
      <c r="I24" s="16" t="n">
        <v>21160</v>
      </c>
      <c r="J24" s="10" t="n">
        <v>0.08138461538461539</v>
      </c>
      <c r="K24" s="8" t="n">
        <v>3373920</v>
      </c>
      <c r="L24" s="8" t="n">
        <v>2799324</v>
      </c>
      <c r="M24" s="8" t="n">
        <v>4100000</v>
      </c>
    </row>
    <row r="25">
      <c r="A25" s="3" t="inlineStr">
        <is>
          <t>М23</t>
        </is>
      </c>
      <c r="B25" s="3" t="n">
        <v>2</v>
      </c>
      <c r="C25" s="4" t="n">
        <v>74000</v>
      </c>
      <c r="D25" s="4" t="n">
        <v>3000</v>
      </c>
      <c r="E25" s="4" t="n">
        <v>2960</v>
      </c>
      <c r="F25" s="4" t="n">
        <v>120</v>
      </c>
      <c r="G25" s="4" t="n">
        <v>293040</v>
      </c>
      <c r="H25" s="4" t="n">
        <v>260000</v>
      </c>
      <c r="I25" s="17" t="n">
        <v>33040</v>
      </c>
      <c r="J25" s="6" t="n">
        <v>0.1270769230769231</v>
      </c>
      <c r="K25" s="4" t="n">
        <v>3516480</v>
      </c>
      <c r="L25" s="4" t="n">
        <v>3092364</v>
      </c>
      <c r="M25" s="4" t="n">
        <v>4360000</v>
      </c>
    </row>
    <row r="26" ht="20" customHeight="1">
      <c r="A26" s="11" t="inlineStr">
        <is>
          <t>ГОД 2 ИТОГО</t>
        </is>
      </c>
      <c r="B26" s="12" t="n"/>
      <c r="C26" s="13" t="n">
        <v>77000</v>
      </c>
      <c r="D26" s="13" t="n">
        <v>3000</v>
      </c>
      <c r="E26" s="13" t="n">
        <v>3080</v>
      </c>
      <c r="F26" s="13" t="n">
        <v>120</v>
      </c>
      <c r="G26" s="13" t="n">
        <v>2764080</v>
      </c>
      <c r="H26" s="13" t="n">
        <v>2880000</v>
      </c>
      <c r="I26" s="14" t="n">
        <v>-115920</v>
      </c>
      <c r="J26" s="15" t="n">
        <v>0.1727692307692308</v>
      </c>
      <c r="K26" s="13" t="n">
        <v>3659040</v>
      </c>
      <c r="L26" s="13" t="n">
        <v>3397284</v>
      </c>
      <c r="M26" s="13" t="n">
        <v>4620000</v>
      </c>
    </row>
  </sheetData>
  <mergeCells count="3">
    <mergeCell ref="A26:B26"/>
    <mergeCell ref="A14:B14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4" customHeight="1">
      <c r="A1" s="18" t="inlineStr">
        <is>
          <t>СРАВНЕНИЕ СЦЕНАРИЕВ | ARPU фиксирован: 99 ₽/мес.</t>
        </is>
      </c>
    </row>
    <row r="2" ht="36" customHeight="1">
      <c r="A2" s="2" t="inlineStr">
        <is>
          <t>Показатель</t>
        </is>
      </c>
      <c r="B2" s="2" t="inlineStr">
        <is>
          <t>Консервативный
(conv 2%, churn 15%)</t>
        </is>
      </c>
      <c r="C2" s="2" t="inlineStr">
        <is>
          <t>Базовый
(conv 4%, churn 10%)</t>
        </is>
      </c>
      <c r="D2" s="2" t="inlineStr">
        <is>
          <t>Оптимистичный
(conv 7%, churn 6%)</t>
        </is>
      </c>
    </row>
    <row r="3" ht="18" customHeight="1">
      <c r="A3" s="19" t="inlineStr">
        <is>
          <t>Конверсия free→paid</t>
        </is>
      </c>
      <c r="B3" s="20" t="inlineStr">
        <is>
          <t>2%</t>
        </is>
      </c>
      <c r="C3" s="21" t="inlineStr">
        <is>
          <t>4%</t>
        </is>
      </c>
      <c r="D3" s="22" t="inlineStr">
        <is>
          <t>7%</t>
        </is>
      </c>
    </row>
    <row r="4" ht="18" customHeight="1">
      <c r="A4" s="19" t="inlineStr">
        <is>
          <t>Monthly Churn</t>
        </is>
      </c>
      <c r="B4" s="23" t="inlineStr">
        <is>
          <t>15%</t>
        </is>
      </c>
      <c r="C4" s="24" t="inlineStr">
        <is>
          <t>10%</t>
        </is>
      </c>
      <c r="D4" s="25" t="inlineStr">
        <is>
          <t>6%</t>
        </is>
      </c>
    </row>
    <row r="5" ht="18" customHeight="1">
      <c r="A5" s="19" t="inlineStr">
        <is>
          <t>ARPU, ₽/мес.</t>
        </is>
      </c>
      <c r="B5" s="20" t="n">
        <v>99</v>
      </c>
      <c r="C5" s="21" t="n">
        <v>99</v>
      </c>
      <c r="D5" s="22" t="n">
        <v>99</v>
      </c>
    </row>
    <row r="6" ht="18" customHeight="1">
      <c r="A6" s="19" t="inlineStr">
        <is>
          <t>MAU к М12</t>
        </is>
      </c>
      <c r="B6" s="26" t="n">
        <v>33000</v>
      </c>
      <c r="C6" s="27" t="n">
        <v>33000</v>
      </c>
      <c r="D6" s="28" t="n">
        <v>50000</v>
      </c>
    </row>
    <row r="7" ht="18" customHeight="1">
      <c r="A7" s="19" t="inlineStr">
        <is>
          <t>Платящих к М12</t>
        </is>
      </c>
      <c r="B7" s="29" t="n">
        <v>660</v>
      </c>
      <c r="C7" s="30" t="n">
        <v>1320</v>
      </c>
      <c r="D7" s="31" t="n">
        <v>3500</v>
      </c>
    </row>
    <row r="8" ht="18" customHeight="1">
      <c r="A8" s="19" t="inlineStr">
        <is>
          <t>MRR к М12, ₽</t>
        </is>
      </c>
      <c r="B8" s="26" t="n">
        <v>65340</v>
      </c>
      <c r="C8" s="27" t="n">
        <v>130680</v>
      </c>
      <c r="D8" s="28" t="n">
        <v>346500</v>
      </c>
    </row>
    <row r="9" ht="18" customHeight="1">
      <c r="A9" s="19" t="inlineStr">
        <is>
          <t>ARR Год 1, ₽</t>
        </is>
      </c>
      <c r="B9" s="29" t="n">
        <v>320000</v>
      </c>
      <c r="C9" s="30" t="n">
        <v>633204</v>
      </c>
      <c r="D9" s="31" t="n">
        <v>1700000</v>
      </c>
    </row>
    <row r="10" ht="18" customHeight="1">
      <c r="A10" s="19" t="inlineStr">
        <is>
          <t>ARR Год 2, ₽</t>
        </is>
      </c>
      <c r="B10" s="26" t="n">
        <v>800000</v>
      </c>
      <c r="C10" s="27" t="n">
        <v>2764080</v>
      </c>
      <c r="D10" s="28" t="n">
        <v>6500000</v>
      </c>
    </row>
    <row r="11" ht="18" customHeight="1">
      <c r="A11" s="19" t="inlineStr">
        <is>
          <t>Затраты Год 1, ₽</t>
        </is>
      </c>
      <c r="B11" s="29" t="n">
        <v>1740000</v>
      </c>
      <c r="C11" s="30" t="n">
        <v>1740000</v>
      </c>
      <c r="D11" s="31" t="n">
        <v>1740000</v>
      </c>
    </row>
    <row r="12" ht="18" customHeight="1">
      <c r="A12" s="19" t="inlineStr">
        <is>
          <t>Затраты Год 2, ₽</t>
        </is>
      </c>
      <c r="B12" s="26" t="n">
        <v>2880000</v>
      </c>
      <c r="C12" s="27" t="n">
        <v>2880000</v>
      </c>
      <c r="D12" s="28" t="n">
        <v>2880000</v>
      </c>
    </row>
    <row r="13" ht="18" customHeight="1">
      <c r="A13" s="19" t="inlineStr">
        <is>
          <t>EBITDA Год 1, ₽</t>
        </is>
      </c>
      <c r="B13" s="29" t="n">
        <v>-1420000</v>
      </c>
      <c r="C13" s="30" t="n">
        <v>-1106796</v>
      </c>
      <c r="D13" s="31" t="n">
        <v>-40000</v>
      </c>
    </row>
    <row r="14" ht="18" customHeight="1">
      <c r="A14" s="19" t="inlineStr">
        <is>
          <t>EBITDA Год 2, ₽</t>
        </is>
      </c>
      <c r="B14" s="26" t="n">
        <v>-2080000</v>
      </c>
      <c r="C14" s="27" t="n">
        <v>-115920</v>
      </c>
      <c r="D14" s="28" t="n">
        <v>3620000</v>
      </c>
    </row>
    <row r="15" ht="18" customHeight="1">
      <c r="A15" s="19" t="inlineStr">
        <is>
          <t>Break-even</t>
        </is>
      </c>
      <c r="B15" s="20" t="inlineStr">
        <is>
          <t>М24+</t>
        </is>
      </c>
      <c r="C15" s="21" t="inlineStr">
        <is>
          <t>М21–22</t>
        </is>
      </c>
      <c r="D15" s="22" t="inlineStr">
        <is>
          <t>М15–16</t>
        </is>
      </c>
    </row>
    <row r="16" ht="18" customHeight="1">
      <c r="A16" s="19" t="inlineStr">
        <is>
          <t>LTV, ₽</t>
        </is>
      </c>
      <c r="B16" s="26" t="n">
        <v>356</v>
      </c>
      <c r="C16" s="27" t="n">
        <v>713</v>
      </c>
      <c r="D16" s="28" t="n">
        <v>1188</v>
      </c>
    </row>
    <row r="17" ht="18" customHeight="1">
      <c r="A17" s="19" t="inlineStr">
        <is>
          <t>LTV/CAC (CAC=150₽)</t>
        </is>
      </c>
      <c r="B17" s="20" t="inlineStr">
        <is>
          <t>2,4x</t>
        </is>
      </c>
      <c r="C17" s="21" t="inlineStr">
        <is>
          <t>4,75x</t>
        </is>
      </c>
      <c r="D17" s="22" t="inlineStr">
        <is>
          <t>7,9x</t>
        </is>
      </c>
    </row>
    <row r="18" ht="18" customHeight="1">
      <c r="A18" s="19" t="inlineStr">
        <is>
          <t>Потреб. инвестиций, ₽</t>
        </is>
      </c>
      <c r="B18" s="23" t="n">
        <v>2200000</v>
      </c>
      <c r="C18" s="24" t="n">
        <v>1500000</v>
      </c>
      <c r="D18" s="25" t="n">
        <v>800000</v>
      </c>
    </row>
    <row r="20" ht="22" customHeight="1">
      <c r="A20" s="32" t="inlineStr">
        <is>
          <t>Итоговый диапазон оценки: Cons ~3–5M ₽  |  Base ~8–12M ₽  |  Opt ~25–40M ₽</t>
        </is>
      </c>
    </row>
  </sheetData>
  <mergeCells count="2">
    <mergeCell ref="A1:D1"/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АНАЛИЗ ЧУВСТВИТЕЛЬНОСТИ — 3 ключевых параметра</t>
        </is>
      </c>
    </row>
    <row r="2" ht="20" customHeight="1">
      <c r="A2" s="33" t="inlineStr">
        <is>
          <t>1. Конверсия free → paid (MAU M12 = 33 000, Churn 10%)</t>
        </is>
      </c>
    </row>
    <row r="3" ht="24" customHeight="1">
      <c r="A3" s="2" t="inlineStr">
        <is>
          <t>Конверсия</t>
        </is>
      </c>
      <c r="B3" s="2" t="inlineStr">
        <is>
          <t>Платящих М12</t>
        </is>
      </c>
      <c r="C3" s="2" t="inlineStr">
        <is>
          <t>MRR М12, ₽</t>
        </is>
      </c>
      <c r="D3" s="2" t="inlineStr">
        <is>
          <t>ARR Год 1 (оценка), ₽</t>
        </is>
      </c>
      <c r="E3" s="2" t="inlineStr">
        <is>
          <t>Break-even</t>
        </is>
      </c>
      <c r="F3" s="2" t="inlineStr">
        <is>
          <t>LTV/CAC</t>
        </is>
      </c>
    </row>
    <row r="4" ht="18" customHeight="1">
      <c r="A4" s="6" t="n">
        <v>0.01</v>
      </c>
      <c r="B4" s="3" t="n">
        <v>330</v>
      </c>
      <c r="C4" s="4" t="n">
        <v>32670</v>
      </c>
      <c r="D4" s="4" t="n">
        <v>160000</v>
      </c>
      <c r="E4" s="3" t="inlineStr">
        <is>
          <t>М24+</t>
        </is>
      </c>
      <c r="F4" s="3" t="inlineStr">
        <is>
          <t>2,2x</t>
        </is>
      </c>
    </row>
    <row r="5" ht="18" customHeight="1">
      <c r="A5" s="10" t="n">
        <v>0.02</v>
      </c>
      <c r="B5" s="7" t="n">
        <v>660</v>
      </c>
      <c r="C5" s="8" t="n">
        <v>65340</v>
      </c>
      <c r="D5" s="8" t="n">
        <v>320000</v>
      </c>
      <c r="E5" s="7" t="inlineStr">
        <is>
          <t>М24+</t>
        </is>
      </c>
      <c r="F5" s="7" t="inlineStr">
        <is>
          <t>2,4x</t>
        </is>
      </c>
    </row>
    <row r="6" ht="18" customHeight="1">
      <c r="A6" s="34" t="inlineStr">
        <is>
          <t>0.04 ● BASE</t>
        </is>
      </c>
      <c r="B6" s="35" t="n">
        <v>1320</v>
      </c>
      <c r="C6" s="35" t="n">
        <v>130680</v>
      </c>
      <c r="D6" s="35" t="n">
        <v>633000</v>
      </c>
      <c r="E6" s="11" t="inlineStr">
        <is>
          <t>М21–22</t>
        </is>
      </c>
      <c r="F6" s="11" t="inlineStr">
        <is>
          <t>4,75x</t>
        </is>
      </c>
    </row>
    <row r="7" ht="18" customHeight="1">
      <c r="A7" s="10" t="n">
        <v>0.07000000000000001</v>
      </c>
      <c r="B7" s="8" t="n">
        <v>2310</v>
      </c>
      <c r="C7" s="8" t="n">
        <v>228690</v>
      </c>
      <c r="D7" s="8" t="n">
        <v>1100000</v>
      </c>
      <c r="E7" s="7" t="inlineStr">
        <is>
          <t>М15–16</t>
        </is>
      </c>
      <c r="F7" s="7" t="inlineStr">
        <is>
          <t>4,75x</t>
        </is>
      </c>
    </row>
    <row r="8" ht="18" customHeight="1">
      <c r="A8" s="6" t="n">
        <v>0.1</v>
      </c>
      <c r="B8" s="4" t="n">
        <v>3300</v>
      </c>
      <c r="C8" s="4" t="n">
        <v>326700</v>
      </c>
      <c r="D8" s="4" t="n">
        <v>1600000</v>
      </c>
      <c r="E8" s="3" t="inlineStr">
        <is>
          <t>М12–13</t>
        </is>
      </c>
      <c r="F8" s="3" t="inlineStr">
        <is>
          <t>4,75x</t>
        </is>
      </c>
    </row>
    <row r="10" ht="20" customHeight="1">
      <c r="A10" s="36" t="inlineStr">
        <is>
          <t>2. Monthly Churn (1 320 платящих к М12, Conv 4%)</t>
        </is>
      </c>
    </row>
    <row r="11" ht="24" customHeight="1">
      <c r="A11" s="2" t="inlineStr">
        <is>
          <t>Churn</t>
        </is>
      </c>
      <c r="B11" s="2" t="inlineStr">
        <is>
          <t>LTV, ₽</t>
        </is>
      </c>
      <c r="C11" s="2" t="inlineStr">
        <is>
          <t>LTV/CAC</t>
        </is>
      </c>
      <c r="D11" s="2" t="inlineStr">
        <is>
          <t>MRR М18, ₽</t>
        </is>
      </c>
      <c r="E11" s="2" t="inlineStr">
        <is>
          <t>Break-even</t>
        </is>
      </c>
      <c r="F11" s="2" t="inlineStr">
        <is>
          <t>Потреб. инвест., ₽</t>
        </is>
      </c>
    </row>
    <row r="12" ht="18" customHeight="1">
      <c r="A12" s="6" t="n">
        <v>0.06</v>
      </c>
      <c r="B12" s="4" t="n">
        <v>1188</v>
      </c>
      <c r="C12" s="3" t="inlineStr">
        <is>
          <t>7,9x</t>
        </is>
      </c>
      <c r="D12" s="4" t="n">
        <v>320000</v>
      </c>
      <c r="E12" s="3" t="inlineStr">
        <is>
          <t>М16–17</t>
        </is>
      </c>
      <c r="F12" s="4" t="n">
        <v>900000</v>
      </c>
    </row>
    <row r="13" ht="18" customHeight="1">
      <c r="A13" s="34" t="inlineStr">
        <is>
          <t>0.1 ● BASE</t>
        </is>
      </c>
      <c r="B13" s="11" t="n">
        <v>713</v>
      </c>
      <c r="C13" s="11" t="inlineStr">
        <is>
          <t>4,75x</t>
        </is>
      </c>
      <c r="D13" s="35" t="n">
        <v>226000</v>
      </c>
      <c r="E13" s="11" t="inlineStr">
        <is>
          <t>М21–22</t>
        </is>
      </c>
      <c r="F13" s="35" t="n">
        <v>1500000</v>
      </c>
    </row>
    <row r="14" ht="18" customHeight="1">
      <c r="A14" s="6" t="n">
        <v>0.15</v>
      </c>
      <c r="B14" s="3" t="n">
        <v>475</v>
      </c>
      <c r="C14" s="3" t="inlineStr">
        <is>
          <t>3,2x</t>
        </is>
      </c>
      <c r="D14" s="4" t="n">
        <v>140000</v>
      </c>
      <c r="E14" s="3" t="inlineStr">
        <is>
          <t>М24+</t>
        </is>
      </c>
      <c r="F14" s="4" t="n">
        <v>2200000</v>
      </c>
    </row>
    <row r="15" ht="18" customHeight="1">
      <c r="A15" s="10" t="n">
        <v>0.2</v>
      </c>
      <c r="B15" s="7" t="n">
        <v>356</v>
      </c>
      <c r="C15" s="7" t="inlineStr">
        <is>
          <t>2,4x</t>
        </is>
      </c>
      <c r="D15" s="8" t="n">
        <v>95000</v>
      </c>
      <c r="E15" s="7" t="inlineStr">
        <is>
          <t>М24+</t>
        </is>
      </c>
      <c r="F15" s="8" t="n">
        <v>2800000</v>
      </c>
    </row>
    <row r="17" ht="20" customHeight="1">
      <c r="A17" s="37" t="inlineStr">
        <is>
          <t>3. MAU к М12 (Conv 4%, Churn 10%)</t>
        </is>
      </c>
    </row>
    <row r="18" ht="24" customHeight="1">
      <c r="A18" s="2" t="inlineStr">
        <is>
          <t>MAU М12</t>
        </is>
      </c>
      <c r="B18" s="2" t="inlineStr">
        <is>
          <t>Платящих</t>
        </is>
      </c>
      <c r="C18" s="2" t="inlineStr">
        <is>
          <t>MRR М12, ₽</t>
        </is>
      </c>
      <c r="D18" s="2" t="inlineStr">
        <is>
          <t>ARR Год 1, ₽</t>
        </is>
      </c>
      <c r="E18" s="2" t="inlineStr">
        <is>
          <t>Break-even</t>
        </is>
      </c>
      <c r="F18" s="2" t="inlineStr">
        <is>
          <t>Оценка EV/ARR×4</t>
        </is>
      </c>
    </row>
    <row r="19" ht="18" customHeight="1">
      <c r="A19" s="4" t="n">
        <v>10000</v>
      </c>
      <c r="B19" s="3" t="n">
        <v>400</v>
      </c>
      <c r="C19" s="4" t="n">
        <v>39600</v>
      </c>
      <c r="D19" s="4" t="n">
        <v>190000</v>
      </c>
      <c r="E19" s="3" t="inlineStr">
        <is>
          <t>М24+</t>
        </is>
      </c>
      <c r="F19" s="3" t="inlineStr">
        <is>
          <t>757K ₽</t>
        </is>
      </c>
    </row>
    <row r="20" ht="18" customHeight="1">
      <c r="A20" s="8" t="n">
        <v>20000</v>
      </c>
      <c r="B20" s="7" t="n">
        <v>800</v>
      </c>
      <c r="C20" s="8" t="n">
        <v>79200</v>
      </c>
      <c r="D20" s="8" t="n">
        <v>380000</v>
      </c>
      <c r="E20" s="7" t="inlineStr">
        <is>
          <t>М23</t>
        </is>
      </c>
      <c r="F20" s="7" t="inlineStr">
        <is>
          <t>1,5M ₽</t>
        </is>
      </c>
    </row>
    <row r="21" ht="18" customHeight="1">
      <c r="A21" s="35" t="inlineStr">
        <is>
          <t>33000 ● BASE</t>
        </is>
      </c>
      <c r="B21" s="35" t="n">
        <v>1320</v>
      </c>
      <c r="C21" s="35" t="n">
        <v>130680</v>
      </c>
      <c r="D21" s="35" t="n">
        <v>633000</v>
      </c>
      <c r="E21" s="11" t="inlineStr">
        <is>
          <t>М21–22</t>
        </is>
      </c>
      <c r="F21" s="11" t="inlineStr">
        <is>
          <t>6,3M ₽</t>
        </is>
      </c>
    </row>
    <row r="22" ht="18" customHeight="1">
      <c r="A22" s="8" t="n">
        <v>50000</v>
      </c>
      <c r="B22" s="8" t="n">
        <v>2000</v>
      </c>
      <c r="C22" s="8" t="n">
        <v>198000</v>
      </c>
      <c r="D22" s="8" t="n">
        <v>960000</v>
      </c>
      <c r="E22" s="7" t="inlineStr">
        <is>
          <t>М18</t>
        </is>
      </c>
      <c r="F22" s="7" t="inlineStr">
        <is>
          <t>9,5M ₽</t>
        </is>
      </c>
    </row>
    <row r="23" ht="18" customHeight="1">
      <c r="A23" s="4" t="n">
        <v>80000</v>
      </c>
      <c r="B23" s="4" t="n">
        <v>3200</v>
      </c>
      <c r="C23" s="4" t="n">
        <v>316800</v>
      </c>
      <c r="D23" s="4" t="n">
        <v>1500000</v>
      </c>
      <c r="E23" s="3" t="inlineStr">
        <is>
          <t>М14–15</t>
        </is>
      </c>
      <c r="F23" s="3" t="inlineStr">
        <is>
          <t>15M ₽</t>
        </is>
      </c>
    </row>
  </sheetData>
  <mergeCells count="4">
    <mergeCell ref="A2:F2"/>
    <mergeCell ref="A1:F1"/>
    <mergeCell ref="A17:F17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38" t="inlineStr">
        <is>
          <t>ОЦЕНКА КОМПАНИИ — 3 МЕТОДА | AI-Ведущий Мафии</t>
        </is>
      </c>
    </row>
    <row r="3" ht="22" customHeight="1">
      <c r="A3" s="1" t="inlineStr">
        <is>
          <t>МЕТОД 1: VENTURE CAPITAL METHOD</t>
        </is>
      </c>
    </row>
    <row r="4" ht="22" customHeight="1">
      <c r="A4" s="2" t="inlineStr">
        <is>
          <t>Параметр</t>
        </is>
      </c>
      <c r="B4" s="2" t="inlineStr">
        <is>
          <t>Консервативный</t>
        </is>
      </c>
      <c r="C4" s="2" t="inlineStr">
        <is>
          <t>Базовый</t>
        </is>
      </c>
      <c r="D4" s="2" t="inlineStr">
        <is>
          <t>Оптимистичный</t>
        </is>
      </c>
    </row>
    <row r="5" ht="18" customHeight="1">
      <c r="A5" s="19" t="inlineStr">
        <is>
          <t>ARR Год 5, руб.</t>
        </is>
      </c>
      <c r="B5" s="39" t="n">
        <v>5000000</v>
      </c>
      <c r="C5" s="40" t="n">
        <v>15000000</v>
      </c>
      <c r="D5" s="41" t="n">
        <v>40000000</v>
      </c>
    </row>
    <row r="6" ht="18" customHeight="1">
      <c r="A6" s="19" t="inlineStr">
        <is>
          <t>Мультипликатор выхода (EV/ARR)</t>
        </is>
      </c>
      <c r="B6" s="23" t="inlineStr">
        <is>
          <t>3x</t>
        </is>
      </c>
      <c r="C6" s="24" t="inlineStr">
        <is>
          <t>4x</t>
        </is>
      </c>
      <c r="D6" s="25" t="inlineStr">
        <is>
          <t>5x</t>
        </is>
      </c>
    </row>
    <row r="7" ht="18" customHeight="1">
      <c r="A7" s="19" t="inlineStr">
        <is>
          <t>Exit Value, руб.</t>
        </is>
      </c>
      <c r="B7" s="39" t="n">
        <v>15000000</v>
      </c>
      <c r="C7" s="40" t="n">
        <v>60000000</v>
      </c>
      <c r="D7" s="41" t="n">
        <v>200000000</v>
      </c>
    </row>
    <row r="8" ht="18" customHeight="1">
      <c r="A8" s="19" t="inlineStr">
        <is>
          <t>Требуемый ROI инвестора</t>
        </is>
      </c>
      <c r="B8" s="23" t="inlineStr">
        <is>
          <t>5x</t>
        </is>
      </c>
      <c r="C8" s="24" t="inlineStr">
        <is>
          <t>5x</t>
        </is>
      </c>
      <c r="D8" s="25" t="inlineStr">
        <is>
          <t>5x</t>
        </is>
      </c>
    </row>
    <row r="9" ht="18" customHeight="1">
      <c r="A9" s="19" t="inlineStr">
        <is>
          <t>Горизонт выхода (лет)</t>
        </is>
      </c>
      <c r="B9" s="20" t="n">
        <v>5</v>
      </c>
      <c r="C9" s="21" t="n">
        <v>5</v>
      </c>
      <c r="D9" s="22" t="n">
        <v>5</v>
      </c>
    </row>
    <row r="10" ht="18" customHeight="1">
      <c r="A10" s="19" t="inlineStr">
        <is>
          <t>Pre-money оценка, руб.</t>
        </is>
      </c>
      <c r="B10" s="42" t="n">
        <v>3000000</v>
      </c>
      <c r="C10" s="43" t="n">
        <v>12000000</v>
      </c>
      <c r="D10" s="44" t="n">
        <v>40000000</v>
      </c>
    </row>
    <row r="11" ht="20" customHeight="1">
      <c r="A11" s="45" t="inlineStr">
        <is>
          <t>VC Method → Диапазон: 3–40M ₽  |  Базовая оценка: ~12M ₽</t>
        </is>
      </c>
    </row>
    <row r="13" ht="22" customHeight="1">
      <c r="A13" s="18" t="inlineStr">
        <is>
          <t>МЕТОД 2: МУЛЬТИПЛИКАТОРЫ (EV/ARR)</t>
        </is>
      </c>
    </row>
    <row r="14" ht="22" customHeight="1">
      <c r="A14" s="2" t="inlineStr">
        <is>
          <t>Параметр / ARR</t>
        </is>
      </c>
      <c r="B14" s="2" t="inlineStr">
        <is>
          <t>EV/ARR 3x</t>
        </is>
      </c>
      <c r="C14" s="2" t="inlineStr">
        <is>
          <t>EV/ARR 4x</t>
        </is>
      </c>
      <c r="D14" s="2" t="inlineStr">
        <is>
          <t>EV/ARR 6x</t>
        </is>
      </c>
    </row>
    <row r="15" ht="18" customHeight="1">
      <c r="A15" s="19" t="inlineStr">
        <is>
          <t>ARR М12 (1 568 160 ₽)</t>
        </is>
      </c>
      <c r="B15" s="46" t="n">
        <v>4704480</v>
      </c>
      <c r="C15" s="40" t="n">
        <v>6272640</v>
      </c>
      <c r="D15" s="46" t="n">
        <v>9408960</v>
      </c>
    </row>
    <row r="16" ht="18" customHeight="1">
      <c r="A16" s="19" t="inlineStr">
        <is>
          <t>ARR М18 (2 721 600 ₽)</t>
        </is>
      </c>
      <c r="B16" s="47" t="n">
        <v>8164800</v>
      </c>
      <c r="C16" s="43" t="n">
        <v>10886400</v>
      </c>
      <c r="D16" s="47" t="n">
        <v>16329600</v>
      </c>
    </row>
    <row r="17" ht="18" customHeight="1">
      <c r="A17" s="19" t="inlineStr">
        <is>
          <t>ARR М24 (3 659 040 ₽)</t>
        </is>
      </c>
      <c r="B17" s="46" t="n">
        <v>10977120</v>
      </c>
      <c r="C17" s="40" t="n">
        <v>14636160</v>
      </c>
      <c r="D17" s="46" t="n">
        <v>21954240</v>
      </c>
    </row>
    <row r="18" ht="18" customHeight="1">
      <c r="A18" s="19" t="inlineStr">
        <is>
          <t>ARR М12 + growth premium 30%</t>
        </is>
      </c>
      <c r="B18" s="47" t="n">
        <v>6116000</v>
      </c>
      <c r="C18" s="43" t="n">
        <v>8154000</v>
      </c>
      <c r="D18" s="47" t="n">
        <v>12232000</v>
      </c>
    </row>
    <row r="19" ht="20" customHeight="1">
      <c r="A19" s="21" t="inlineStr">
        <is>
          <t>Мультипликаторы → Диапазон: 4,7–22M ₽  |  Рекомендуемая оценка (ARR М12 × 4x + 30%): ~8,2M ₽</t>
        </is>
      </c>
    </row>
    <row r="21" ht="22" customHeight="1">
      <c r="A21" s="48" t="inlineStr">
        <is>
          <t>МЕТОД 3: DCF (УПРОЩЁННЫЙ)  — Ставка дисконт. 35%, g=5%</t>
        </is>
      </c>
    </row>
    <row r="22" ht="22" customHeight="1">
      <c r="A22" s="2" t="inlineStr">
        <is>
          <t>Год</t>
        </is>
      </c>
      <c r="B22" s="2" t="inlineStr">
        <is>
          <t>FCF, ₽</t>
        </is>
      </c>
      <c r="C22" s="2" t="inlineStr">
        <is>
          <t>Дисконт-фактор (35%)</t>
        </is>
      </c>
      <c r="D22" s="2" t="inlineStr">
        <is>
          <t>PV FCF, ₽</t>
        </is>
      </c>
    </row>
    <row r="23" ht="18" customHeight="1">
      <c r="A23" s="3" t="inlineStr">
        <is>
          <t>Год 1</t>
        </is>
      </c>
      <c r="B23" s="5" t="n">
        <v>-1107000</v>
      </c>
      <c r="C23" s="49" t="n">
        <v>0.7407</v>
      </c>
      <c r="D23" s="5" t="n">
        <v>-819955</v>
      </c>
    </row>
    <row r="24" ht="18" customHeight="1">
      <c r="A24" s="7" t="inlineStr">
        <is>
          <t>Год 2</t>
        </is>
      </c>
      <c r="B24" s="9" t="n">
        <v>-116000</v>
      </c>
      <c r="C24" s="50" t="n">
        <v>0.5487</v>
      </c>
      <c r="D24" s="9" t="n">
        <v>-63649</v>
      </c>
    </row>
    <row r="25" ht="18" customHeight="1">
      <c r="A25" s="3" t="inlineStr">
        <is>
          <t>Год 3</t>
        </is>
      </c>
      <c r="B25" s="51" t="n">
        <v>2000000</v>
      </c>
      <c r="C25" s="49" t="n">
        <v>0.4064</v>
      </c>
      <c r="D25" s="51" t="n">
        <v>812800</v>
      </c>
    </row>
    <row r="26" ht="18" customHeight="1">
      <c r="A26" s="7" t="inlineStr">
        <is>
          <t>Год 4</t>
        </is>
      </c>
      <c r="B26" s="52" t="n">
        <v>4500000</v>
      </c>
      <c r="C26" s="50" t="n">
        <v>0.3011</v>
      </c>
      <c r="D26" s="52" t="n">
        <v>1354950</v>
      </c>
    </row>
    <row r="27" ht="18" customHeight="1">
      <c r="A27" s="3" t="inlineStr">
        <is>
          <t>Год 5</t>
        </is>
      </c>
      <c r="B27" s="51" t="n">
        <v>7500000</v>
      </c>
      <c r="C27" s="49" t="n">
        <v>0.223</v>
      </c>
      <c r="D27" s="51" t="n">
        <v>1672500</v>
      </c>
    </row>
    <row r="28" ht="18" customHeight="1">
      <c r="A28" s="7" t="inlineStr">
        <is>
          <t>Terminal Value</t>
        </is>
      </c>
      <c r="B28" s="52" t="n">
        <v>25000000</v>
      </c>
      <c r="C28" s="50" t="n">
        <v>0.223</v>
      </c>
      <c r="D28" s="52" t="n">
        <v>5575000</v>
      </c>
    </row>
    <row r="29" ht="22" customHeight="1">
      <c r="A29" s="53" t="inlineStr">
        <is>
          <t>ИТОГО DCF Оценка</t>
        </is>
      </c>
      <c r="B29" s="53" t="n"/>
      <c r="C29" s="53" t="n"/>
      <c r="D29" s="54" t="n">
        <v>8531646</v>
      </c>
    </row>
    <row r="31" ht="22" customHeight="1">
      <c r="A31" s="55" t="inlineStr">
        <is>
          <t>СВОДНАЯ ТАБЛИЦА ОЦЕНОК</t>
        </is>
      </c>
    </row>
    <row r="32" ht="22" customHeight="1">
      <c r="A32" s="2" t="inlineStr">
        <is>
          <t>Метод</t>
        </is>
      </c>
      <c r="B32" s="2" t="inlineStr">
        <is>
          <t>Консервативный</t>
        </is>
      </c>
      <c r="C32" s="2" t="inlineStr">
        <is>
          <t>Базовый</t>
        </is>
      </c>
      <c r="D32" s="2" t="inlineStr">
        <is>
          <t>Оптимистичный</t>
        </is>
      </c>
    </row>
    <row r="33" ht="18" customHeight="1">
      <c r="A33" s="3" t="inlineStr">
        <is>
          <t>VC Method</t>
        </is>
      </c>
      <c r="B33" s="20" t="inlineStr">
        <is>
          <t>~3M ₽</t>
        </is>
      </c>
      <c r="C33" s="21" t="inlineStr">
        <is>
          <t>~12M ₽</t>
        </is>
      </c>
      <c r="D33" s="22" t="inlineStr">
        <is>
          <t>~40M ₽</t>
        </is>
      </c>
    </row>
    <row r="34" ht="18" customHeight="1">
      <c r="A34" s="7" t="inlineStr">
        <is>
          <t>Мультипликаторы (EV/ARR)</t>
        </is>
      </c>
      <c r="B34" s="23" t="inlineStr">
        <is>
          <t>~4,7M ₽</t>
        </is>
      </c>
      <c r="C34" s="24" t="inlineStr">
        <is>
          <t>~8,2M ₽</t>
        </is>
      </c>
      <c r="D34" s="25" t="inlineStr">
        <is>
          <t>~22M ₽</t>
        </is>
      </c>
    </row>
    <row r="35" ht="18" customHeight="1">
      <c r="A35" s="3" t="inlineStr">
        <is>
          <t>DCF (35%)</t>
        </is>
      </c>
      <c r="B35" s="20" t="inlineStr">
        <is>
          <t>~3M ₽</t>
        </is>
      </c>
      <c r="C35" s="21" t="inlineStr">
        <is>
          <t>~9,5M ₽</t>
        </is>
      </c>
      <c r="D35" s="22" t="inlineStr">
        <is>
          <t>~28M ₽</t>
        </is>
      </c>
    </row>
    <row r="36" ht="20" customHeight="1">
      <c r="A36" s="32" t="inlineStr">
        <is>
          <t>ИТОГОВЫЙ ДИАПАЗОН</t>
        </is>
      </c>
      <c r="B36" s="32" t="inlineStr">
        <is>
          <t>3–5M ₽</t>
        </is>
      </c>
      <c r="C36" s="32" t="inlineStr">
        <is>
          <t>8–12M ₽</t>
        </is>
      </c>
      <c r="D36" s="32" t="inlineStr">
        <is>
          <t>25–40M ₽</t>
        </is>
      </c>
    </row>
    <row r="37" ht="22" customHeight="1">
      <c r="A37" s="56" t="inlineStr">
        <is>
          <t>Pre-Seed рекомендация: 8–12M ₽ pre-money  | При ARR 2,7M ₽ (М18) → переоценка 10–16M ₽</t>
        </is>
      </c>
    </row>
  </sheetData>
  <mergeCells count="8">
    <mergeCell ref="A1:D1"/>
    <mergeCell ref="A37:D37"/>
    <mergeCell ref="A31:D31"/>
    <mergeCell ref="A3:D3"/>
    <mergeCell ref="A21:D21"/>
    <mergeCell ref="A19:D19"/>
    <mergeCell ref="A11:D11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18" t="inlineStr">
        <is>
          <t>UNIT ECONOMICS — Базовый сценарий, М12 (ARPU 99 ₽ · CAC 150 ₽ · Churn 10%)</t>
        </is>
      </c>
    </row>
    <row r="2" ht="22" customHeight="1">
      <c r="A2" s="2" t="inlineStr">
        <is>
          <t>Метрика</t>
        </is>
      </c>
      <c r="B2" s="2" t="inlineStr">
        <is>
          <t>Формула</t>
        </is>
      </c>
      <c r="C2" s="2" t="inlineStr">
        <is>
          <t>Значение</t>
        </is>
      </c>
      <c r="D2" s="2" t="inlineStr">
        <is>
          <t>Комментарий</t>
        </is>
      </c>
    </row>
    <row r="3" ht="18" customHeight="1">
      <c r="A3" s="57" t="inlineStr">
        <is>
          <t>CAC (смешанный)</t>
        </is>
      </c>
      <c r="B3" s="58" t="inlineStr">
        <is>
          <t>70%×10₽ + 30%×450₽</t>
        </is>
      </c>
      <c r="C3" s="59" t="n">
        <v>150</v>
      </c>
      <c r="D3" s="60" t="inlineStr">
        <is>
          <t>70% органика, 30% платный трафик</t>
        </is>
      </c>
    </row>
    <row r="4" ht="18" customHeight="1">
      <c r="A4" s="61" t="inlineStr">
        <is>
          <t>ARPU</t>
        </is>
      </c>
      <c r="B4" s="62" t="inlineStr">
        <is>
          <t>Фикс. подписка</t>
        </is>
      </c>
      <c r="C4" s="63" t="n">
        <v>99</v>
      </c>
      <c r="D4" s="64" t="inlineStr">
        <is>
          <t>99 ₽/мес., 1 тариф</t>
        </is>
      </c>
    </row>
    <row r="5" ht="18" customHeight="1">
      <c r="A5" s="57" t="inlineStr">
        <is>
          <t>Gross Margin</t>
        </is>
      </c>
      <c r="B5" s="58" t="inlineStr">
        <is>
          <t>≈ 72%</t>
        </is>
      </c>
      <c r="C5" s="65" t="n">
        <v>0.72</v>
      </c>
      <c r="D5" s="60" t="inlineStr">
        <is>
          <t>COGS: TTS API + инфраструктура ≈28%</t>
        </is>
      </c>
    </row>
    <row r="6" ht="18" customHeight="1">
      <c r="A6" s="61" t="inlineStr">
        <is>
          <t>LTV</t>
        </is>
      </c>
      <c r="B6" s="62" t="inlineStr">
        <is>
          <t>ARPU / Churn × GM</t>
        </is>
      </c>
      <c r="C6" s="66" t="n">
        <v>713</v>
      </c>
      <c r="D6" s="64" t="inlineStr">
        <is>
          <t>99/0,10×0,72 = 712,8 ₽</t>
        </is>
      </c>
    </row>
    <row r="7" ht="18" customHeight="1">
      <c r="A7" s="57" t="inlineStr">
        <is>
          <t>LTV / CAC</t>
        </is>
      </c>
      <c r="B7" s="58" t="inlineStr">
        <is>
          <t>713 / 150</t>
        </is>
      </c>
      <c r="C7" s="67" t="n">
        <v>4.75</v>
      </c>
      <c r="D7" s="60" t="inlineStr">
        <is>
          <t>Целевое &gt;3x ✅</t>
        </is>
      </c>
    </row>
    <row r="8" ht="18" customHeight="1">
      <c r="A8" s="61" t="inlineStr">
        <is>
          <t>Payback period</t>
        </is>
      </c>
      <c r="B8" s="62" t="inlineStr">
        <is>
          <t>CAC / (ARPU×GM)</t>
        </is>
      </c>
      <c r="C8" s="68" t="n">
        <v>2.1</v>
      </c>
      <c r="D8" s="64" t="inlineStr">
        <is>
          <t>150/(99×0,72)≈2,1 мес.</t>
        </is>
      </c>
    </row>
    <row r="9" ht="18" customHeight="1">
      <c r="A9" s="57" t="inlineStr">
        <is>
          <t>MRR к М12</t>
        </is>
      </c>
      <c r="B9" s="58" t="inlineStr">
        <is>
          <t>1 320 × 99</t>
        </is>
      </c>
      <c r="C9" s="59" t="n">
        <v>130680</v>
      </c>
      <c r="D9" s="60" t="inlineStr">
        <is>
          <t>1 320 платящих пользователей</t>
        </is>
      </c>
    </row>
    <row r="10" ht="18" customHeight="1">
      <c r="A10" s="61" t="inlineStr">
        <is>
          <t>ARR к М12</t>
        </is>
      </c>
      <c r="B10" s="62" t="inlineStr">
        <is>
          <t>MRR × 12</t>
        </is>
      </c>
      <c r="C10" s="66" t="n">
        <v>1568160</v>
      </c>
      <c r="D10" s="64" t="inlineStr">
        <is>
          <t>Годовой арр</t>
        </is>
      </c>
    </row>
    <row r="11" ht="18" customHeight="1">
      <c r="A11" s="57" t="inlineStr">
        <is>
          <t>Среднее число игр/мес.</t>
        </is>
      </c>
      <c r="B11" s="58" t="inlineStr">
        <is>
          <t>Оценка</t>
        </is>
      </c>
      <c r="C11" s="69" t="n">
        <v>8</v>
      </c>
      <c r="D11" s="60" t="inlineStr">
        <is>
          <t>Типичный пользователь</t>
        </is>
      </c>
    </row>
    <row r="12" ht="18" customHeight="1">
      <c r="A12" s="61" t="inlineStr">
        <is>
          <t>Стоимость 1 игры для пользователя</t>
        </is>
      </c>
      <c r="B12" s="62" t="inlineStr">
        <is>
          <t>99÷8</t>
        </is>
      </c>
      <c r="C12" s="63" t="n">
        <v>12.4</v>
      </c>
      <c r="D12" s="64" t="inlineStr">
        <is>
          <t>12,4 ₽ за сессию — доступно</t>
        </is>
      </c>
    </row>
    <row r="13" ht="32" customHeight="1">
      <c r="A13" s="70" t="inlineStr">
        <is>
          <t>Вывод: LTV/CAC = 4,75x &gt; 3x (минимально жизнеспособно). Главный риск — churn выше 15%: LTV/CAC падает до 2,4x.</t>
        </is>
      </c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2026-05-05T19:52:06Z</dcterms:created>
  <dcterms:modified xmlns:dcterms="http://purl.org/dc/terms/" xmlns:xsi="http://www.w3.org/2001/XMLSchema-instance" xsi:type="dcterms:W3CDTF">2026-05-05T19:52:06Z</dcterms:modified>
</cp:coreProperties>
</file>